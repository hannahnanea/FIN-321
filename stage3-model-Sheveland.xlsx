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hannah/Desktop/Skool/"/>
    </mc:Choice>
  </mc:AlternateContent>
  <xr:revisionPtr revIDLastSave="0" documentId="8_{C2A8D9A9-446B-5148-8C5A-A2E7916E5D05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Main" sheetId="1" r:id="rId1"/>
    <sheet name="Notes" sheetId="2" r:id="rId2"/>
  </sheets>
  <definedNames>
    <definedName name="call_premium">Main!$C$10</definedName>
    <definedName name="F0_in">Main!$C$5</definedName>
    <definedName name="FC_AMT">Main!$C$3</definedName>
    <definedName name="option_strike">Main!$C$11</definedName>
    <definedName name="put_premium">Main!$C$9</definedName>
    <definedName name="r_eur">Main!$C$7</definedName>
    <definedName name="r_usd">Main!$C$6</definedName>
    <definedName name="S0">Main!$C$4</definedName>
    <definedName name="T_years">Main!$C$8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8" i="1" l="1"/>
  <c r="B67" i="1"/>
  <c r="B66" i="1"/>
  <c r="B65" i="1"/>
  <c r="E61" i="1"/>
  <c r="D61" i="1"/>
  <c r="C61" i="1"/>
  <c r="B61" i="1"/>
  <c r="E60" i="1"/>
  <c r="D60" i="1"/>
  <c r="C60" i="1"/>
  <c r="B60" i="1"/>
  <c r="E59" i="1"/>
  <c r="D59" i="1"/>
  <c r="C59" i="1"/>
  <c r="B59" i="1"/>
  <c r="E58" i="1"/>
  <c r="D58" i="1"/>
  <c r="C58" i="1"/>
  <c r="B58" i="1"/>
  <c r="E57" i="1"/>
  <c r="D57" i="1"/>
  <c r="C57" i="1"/>
  <c r="B57" i="1"/>
  <c r="E56" i="1"/>
  <c r="D56" i="1"/>
  <c r="C56" i="1"/>
  <c r="B56" i="1"/>
  <c r="E55" i="1"/>
  <c r="D55" i="1"/>
  <c r="C55" i="1"/>
  <c r="B55" i="1"/>
  <c r="E54" i="1"/>
  <c r="D54" i="1"/>
  <c r="C54" i="1"/>
  <c r="B54" i="1"/>
  <c r="E53" i="1"/>
  <c r="D53" i="1"/>
  <c r="C53" i="1"/>
  <c r="B53" i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B29" i="1"/>
  <c r="B28" i="1"/>
  <c r="B27" i="1"/>
  <c r="B20" i="1"/>
  <c r="B21" i="1" s="1"/>
  <c r="B22" i="1" s="1"/>
  <c r="B23" i="1" s="1"/>
  <c r="B16" i="1"/>
  <c r="B15" i="1"/>
  <c r="B14" i="1"/>
</calcChain>
</file>

<file path=xl/sharedStrings.xml><?xml version="1.0" encoding="utf-8"?>
<sst xmlns="http://schemas.openxmlformats.org/spreadsheetml/2006/main" count="63" uniqueCount="54">
  <si>
    <t>Stage 3 Model Inputs (edit yellow cells)</t>
  </si>
  <si>
    <t>Variable</t>
  </si>
  <si>
    <t>Cell Name</t>
  </si>
  <si>
    <t>Value</t>
  </si>
  <si>
    <t>Units / Notes</t>
  </si>
  <si>
    <t>FC_AMT</t>
  </si>
  <si>
    <t>S0</t>
  </si>
  <si>
    <t>F0_in</t>
  </si>
  <si>
    <t>r_usd</t>
  </si>
  <si>
    <t>r_eur</t>
  </si>
  <si>
    <t>T_years</t>
  </si>
  <si>
    <t>put_premium</t>
  </si>
  <si>
    <t>call_premium</t>
  </si>
  <si>
    <t>option_strike</t>
  </si>
  <si>
    <t>Forward Hedge</t>
  </si>
  <si>
    <t>Forward rate (F0)</t>
  </si>
  <si>
    <t>EUR Receivable (FC)</t>
  </si>
  <si>
    <t>Forward USD Proceeds</t>
  </si>
  <si>
    <t>Money Market Hedge</t>
  </si>
  <si>
    <t>PV of EUR to borrow (PV_EUR)</t>
  </si>
  <si>
    <t>USD received today after converting PV_EUR at spot (USD_now)</t>
  </si>
  <si>
    <t>Invest USD at r_usd to maturity (USD_T)</t>
  </si>
  <si>
    <t>Money Market USD Proceeds (MMH)</t>
  </si>
  <si>
    <t>Option Hedge (EUR Put)</t>
  </si>
  <si>
    <t>Strike (K)</t>
  </si>
  <si>
    <t>Put premium (USD per EUR)</t>
  </si>
  <si>
    <t>Total put premium (USD)</t>
  </si>
  <si>
    <t>Option proceeds (formula shown in sensitivity table)</t>
  </si>
  <si>
    <t>Logic: If S_T &lt; K =&gt; proceeds = FC*K - total_premium; else proceeds = FC*S_T - total_premium</t>
  </si>
  <si>
    <t>Sensitivity Table (S_T from 1.04 to 1.28 step 0.01)</t>
  </si>
  <si>
    <t>S_T (USD/EUR)</t>
  </si>
  <si>
    <t>Unhedged USD (FC*S_T)</t>
  </si>
  <si>
    <t>Forward USD (FC*F0)</t>
  </si>
  <si>
    <t>Money Market USD (MMH)</t>
  </si>
  <si>
    <t>Option USD (after premium)</t>
  </si>
  <si>
    <t>Summary (using S0 = current spot)</t>
  </si>
  <si>
    <t>Unhedged (FC * S0)</t>
  </si>
  <si>
    <t>Forward (FC * F0)</t>
  </si>
  <si>
    <t>Money Market Hedge (MMH)</t>
  </si>
  <si>
    <t>Option (Put) proceeds at S0</t>
  </si>
  <si>
    <t>Stage 2 Specification Summary (imported into model)</t>
  </si>
  <si>
    <t>Objective: Hedge EUR receivable of EUR 3,879,310 due in 1 year. Compare Forward, Money Market, Put Option.</t>
  </si>
  <si>
    <t>Inputs from Stage 2:</t>
  </si>
  <si>
    <t>FC_AMT: 3879310</t>
  </si>
  <si>
    <t>S0: 1.16</t>
  </si>
  <si>
    <t>F0_in: 1.0875</t>
  </si>
  <si>
    <t>r_usd: 0.0342</t>
  </si>
  <si>
    <t>r_eur: 0.0215</t>
  </si>
  <si>
    <t>T_years: 1.0</t>
  </si>
  <si>
    <t>put_premium: 0.015</t>
  </si>
  <si>
    <t>Assumptions &amp; Calculation Logic:</t>
  </si>
  <si>
    <t>- Forward proceeds = FC * F0</t>
  </si>
  <si>
    <t>- MMH: PV_EUR = FC / (1 + r_eur); USD_now = PV_EUR * S0; MMH = USD_now * (1 + r_usd)</t>
  </si>
  <si>
    <t>- Option (put): Premium = FC * put_premium; If S_T &lt; K exercise -&gt; proceeds = FC*K - Premium; else proceeds = FC*S_T -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</si>
</sst>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2" borderId="0" xfId="0" applyNumberFormat="1" applyFill="1"/>
    <xf numFmtId="164" fontId="0" fillId="2" borderId="0" xfId="0" applyNumberForma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Hedge USD Proceeds vs Ending Spot S_T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Main!$B$36</c:f>
              <c:strCache>
                <c:ptCount val="1"/>
                <c:pt idx="0">
                  <c:v>Unhedged USD (FC*S_T)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Main!$A$37:$A$61</c:f>
              <c:numCache>
                <c:formatCode>General</c:formatCode>
                <c:ptCount val="25"/>
                <c:pt idx="0">
                  <c:v>1.04</c:v>
                </c:pt>
                <c:pt idx="1">
                  <c:v>1.05</c:v>
                </c:pt>
                <c:pt idx="2">
                  <c:v>1.06</c:v>
                </c:pt>
                <c:pt idx="3">
                  <c:v>1.07</c:v>
                </c:pt>
                <c:pt idx="4">
                  <c:v>1.08</c:v>
                </c:pt>
                <c:pt idx="5">
                  <c:v>1.0900000000000001</c:v>
                </c:pt>
                <c:pt idx="6">
                  <c:v>1.1000000000000001</c:v>
                </c:pt>
                <c:pt idx="7">
                  <c:v>1.1100000000000001</c:v>
                </c:pt>
                <c:pt idx="8">
                  <c:v>1.1200000000000001</c:v>
                </c:pt>
                <c:pt idx="9">
                  <c:v>1.1299999999999999</c:v>
                </c:pt>
                <c:pt idx="10">
                  <c:v>1.1399999999999999</c:v>
                </c:pt>
                <c:pt idx="11">
                  <c:v>1.1499999999999999</c:v>
                </c:pt>
                <c:pt idx="12">
                  <c:v>1.1599999999999999</c:v>
                </c:pt>
                <c:pt idx="13">
                  <c:v>1.17</c:v>
                </c:pt>
                <c:pt idx="14">
                  <c:v>1.18</c:v>
                </c:pt>
                <c:pt idx="15">
                  <c:v>1.19</c:v>
                </c:pt>
                <c:pt idx="16">
                  <c:v>1.2</c:v>
                </c:pt>
                <c:pt idx="17">
                  <c:v>1.21</c:v>
                </c:pt>
                <c:pt idx="18">
                  <c:v>1.22</c:v>
                </c:pt>
                <c:pt idx="19">
                  <c:v>1.23</c:v>
                </c:pt>
                <c:pt idx="20">
                  <c:v>1.24</c:v>
                </c:pt>
                <c:pt idx="21">
                  <c:v>1.25</c:v>
                </c:pt>
                <c:pt idx="22">
                  <c:v>1.26</c:v>
                </c:pt>
                <c:pt idx="23">
                  <c:v>1.27</c:v>
                </c:pt>
                <c:pt idx="24">
                  <c:v>1.28</c:v>
                </c:pt>
              </c:numCache>
            </c:numRef>
          </c:cat>
          <c:val>
            <c:numRef>
              <c:f>Main!$B$37:$B$61</c:f>
              <c:numCache>
                <c:formatCode>0.00</c:formatCode>
                <c:ptCount val="25"/>
                <c:pt idx="0">
                  <c:v>4034482.4</c:v>
                </c:pt>
                <c:pt idx="1">
                  <c:v>4073275.5</c:v>
                </c:pt>
                <c:pt idx="2">
                  <c:v>4112068.6</c:v>
                </c:pt>
                <c:pt idx="3">
                  <c:v>4150861.7</c:v>
                </c:pt>
                <c:pt idx="4">
                  <c:v>4189654.8000000003</c:v>
                </c:pt>
                <c:pt idx="5">
                  <c:v>4228447.9000000004</c:v>
                </c:pt>
                <c:pt idx="6">
                  <c:v>4267241</c:v>
                </c:pt>
                <c:pt idx="7">
                  <c:v>4306034.1000000006</c:v>
                </c:pt>
                <c:pt idx="8">
                  <c:v>4344827.2</c:v>
                </c:pt>
                <c:pt idx="9">
                  <c:v>4383620.3</c:v>
                </c:pt>
                <c:pt idx="10">
                  <c:v>4422413.3999999994</c:v>
                </c:pt>
                <c:pt idx="11">
                  <c:v>4461206.5</c:v>
                </c:pt>
                <c:pt idx="12">
                  <c:v>4499999.5999999996</c:v>
                </c:pt>
                <c:pt idx="13">
                  <c:v>4538792.7</c:v>
                </c:pt>
                <c:pt idx="14">
                  <c:v>4577585.8</c:v>
                </c:pt>
                <c:pt idx="15">
                  <c:v>4616378.8999999994</c:v>
                </c:pt>
                <c:pt idx="16">
                  <c:v>4655172</c:v>
                </c:pt>
                <c:pt idx="17">
                  <c:v>4693965.0999999996</c:v>
                </c:pt>
                <c:pt idx="18">
                  <c:v>4732758.2</c:v>
                </c:pt>
                <c:pt idx="19">
                  <c:v>4771551.3</c:v>
                </c:pt>
                <c:pt idx="20">
                  <c:v>4810344.4000000004</c:v>
                </c:pt>
                <c:pt idx="21">
                  <c:v>4849137.5</c:v>
                </c:pt>
                <c:pt idx="22">
                  <c:v>4887930.5999999996</c:v>
                </c:pt>
                <c:pt idx="23">
                  <c:v>4926723.7</c:v>
                </c:pt>
                <c:pt idx="24">
                  <c:v>4965516.8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8D-034D-8068-06A2B64CCCA8}"/>
            </c:ext>
          </c:extLst>
        </c:ser>
        <c:ser>
          <c:idx val="1"/>
          <c:order val="1"/>
          <c:tx>
            <c:strRef>
              <c:f>Main!$C$36</c:f>
              <c:strCache>
                <c:ptCount val="1"/>
                <c:pt idx="0">
                  <c:v>Forward USD (FC*F0)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Main!$A$37:$A$61</c:f>
              <c:numCache>
                <c:formatCode>General</c:formatCode>
                <c:ptCount val="25"/>
                <c:pt idx="0">
                  <c:v>1.04</c:v>
                </c:pt>
                <c:pt idx="1">
                  <c:v>1.05</c:v>
                </c:pt>
                <c:pt idx="2">
                  <c:v>1.06</c:v>
                </c:pt>
                <c:pt idx="3">
                  <c:v>1.07</c:v>
                </c:pt>
                <c:pt idx="4">
                  <c:v>1.08</c:v>
                </c:pt>
                <c:pt idx="5">
                  <c:v>1.0900000000000001</c:v>
                </c:pt>
                <c:pt idx="6">
                  <c:v>1.1000000000000001</c:v>
                </c:pt>
                <c:pt idx="7">
                  <c:v>1.1100000000000001</c:v>
                </c:pt>
                <c:pt idx="8">
                  <c:v>1.1200000000000001</c:v>
                </c:pt>
                <c:pt idx="9">
                  <c:v>1.1299999999999999</c:v>
                </c:pt>
                <c:pt idx="10">
                  <c:v>1.1399999999999999</c:v>
                </c:pt>
                <c:pt idx="11">
                  <c:v>1.1499999999999999</c:v>
                </c:pt>
                <c:pt idx="12">
                  <c:v>1.1599999999999999</c:v>
                </c:pt>
                <c:pt idx="13">
                  <c:v>1.17</c:v>
                </c:pt>
                <c:pt idx="14">
                  <c:v>1.18</c:v>
                </c:pt>
                <c:pt idx="15">
                  <c:v>1.19</c:v>
                </c:pt>
                <c:pt idx="16">
                  <c:v>1.2</c:v>
                </c:pt>
                <c:pt idx="17">
                  <c:v>1.21</c:v>
                </c:pt>
                <c:pt idx="18">
                  <c:v>1.22</c:v>
                </c:pt>
                <c:pt idx="19">
                  <c:v>1.23</c:v>
                </c:pt>
                <c:pt idx="20">
                  <c:v>1.24</c:v>
                </c:pt>
                <c:pt idx="21">
                  <c:v>1.25</c:v>
                </c:pt>
                <c:pt idx="22">
                  <c:v>1.26</c:v>
                </c:pt>
                <c:pt idx="23">
                  <c:v>1.27</c:v>
                </c:pt>
                <c:pt idx="24">
                  <c:v>1.28</c:v>
                </c:pt>
              </c:numCache>
            </c:numRef>
          </c:cat>
          <c:val>
            <c:numRef>
              <c:f>Main!$C$37:$C$61</c:f>
              <c:numCache>
                <c:formatCode>0.00</c:formatCode>
                <c:ptCount val="25"/>
                <c:pt idx="0">
                  <c:v>4218749.625</c:v>
                </c:pt>
                <c:pt idx="1">
                  <c:v>4218749.625</c:v>
                </c:pt>
                <c:pt idx="2">
                  <c:v>4218749.625</c:v>
                </c:pt>
                <c:pt idx="3">
                  <c:v>4218749.625</c:v>
                </c:pt>
                <c:pt idx="4">
                  <c:v>4218749.625</c:v>
                </c:pt>
                <c:pt idx="5">
                  <c:v>4218749.625</c:v>
                </c:pt>
                <c:pt idx="6">
                  <c:v>4218749.625</c:v>
                </c:pt>
                <c:pt idx="7">
                  <c:v>4218749.625</c:v>
                </c:pt>
                <c:pt idx="8">
                  <c:v>4218749.625</c:v>
                </c:pt>
                <c:pt idx="9">
                  <c:v>4218749.625</c:v>
                </c:pt>
                <c:pt idx="10">
                  <c:v>4218749.625</c:v>
                </c:pt>
                <c:pt idx="11">
                  <c:v>4218749.625</c:v>
                </c:pt>
                <c:pt idx="12">
                  <c:v>4218749.625</c:v>
                </c:pt>
                <c:pt idx="13">
                  <c:v>4218749.625</c:v>
                </c:pt>
                <c:pt idx="14">
                  <c:v>4218749.625</c:v>
                </c:pt>
                <c:pt idx="15">
                  <c:v>4218749.625</c:v>
                </c:pt>
                <c:pt idx="16">
                  <c:v>4218749.625</c:v>
                </c:pt>
                <c:pt idx="17">
                  <c:v>4218749.625</c:v>
                </c:pt>
                <c:pt idx="18">
                  <c:v>4218749.625</c:v>
                </c:pt>
                <c:pt idx="19">
                  <c:v>4218749.625</c:v>
                </c:pt>
                <c:pt idx="20">
                  <c:v>4218749.625</c:v>
                </c:pt>
                <c:pt idx="21">
                  <c:v>4218749.625</c:v>
                </c:pt>
                <c:pt idx="22">
                  <c:v>4218749.625</c:v>
                </c:pt>
                <c:pt idx="23">
                  <c:v>4218749.625</c:v>
                </c:pt>
                <c:pt idx="24">
                  <c:v>4218749.625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8D-034D-8068-06A2B64CCCA8}"/>
            </c:ext>
          </c:extLst>
        </c:ser>
        <c:ser>
          <c:idx val="2"/>
          <c:order val="2"/>
          <c:tx>
            <c:strRef>
              <c:f>Main!$D$36</c:f>
              <c:strCache>
                <c:ptCount val="1"/>
                <c:pt idx="0">
                  <c:v>Money Market USD (MMH)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Main!$A$37:$A$61</c:f>
              <c:numCache>
                <c:formatCode>General</c:formatCode>
                <c:ptCount val="25"/>
                <c:pt idx="0">
                  <c:v>1.04</c:v>
                </c:pt>
                <c:pt idx="1">
                  <c:v>1.05</c:v>
                </c:pt>
                <c:pt idx="2">
                  <c:v>1.06</c:v>
                </c:pt>
                <c:pt idx="3">
                  <c:v>1.07</c:v>
                </c:pt>
                <c:pt idx="4">
                  <c:v>1.08</c:v>
                </c:pt>
                <c:pt idx="5">
                  <c:v>1.0900000000000001</c:v>
                </c:pt>
                <c:pt idx="6">
                  <c:v>1.1000000000000001</c:v>
                </c:pt>
                <c:pt idx="7">
                  <c:v>1.1100000000000001</c:v>
                </c:pt>
                <c:pt idx="8">
                  <c:v>1.1200000000000001</c:v>
                </c:pt>
                <c:pt idx="9">
                  <c:v>1.1299999999999999</c:v>
                </c:pt>
                <c:pt idx="10">
                  <c:v>1.1399999999999999</c:v>
                </c:pt>
                <c:pt idx="11">
                  <c:v>1.1499999999999999</c:v>
                </c:pt>
                <c:pt idx="12">
                  <c:v>1.1599999999999999</c:v>
                </c:pt>
                <c:pt idx="13">
                  <c:v>1.17</c:v>
                </c:pt>
                <c:pt idx="14">
                  <c:v>1.18</c:v>
                </c:pt>
                <c:pt idx="15">
                  <c:v>1.19</c:v>
                </c:pt>
                <c:pt idx="16">
                  <c:v>1.2</c:v>
                </c:pt>
                <c:pt idx="17">
                  <c:v>1.21</c:v>
                </c:pt>
                <c:pt idx="18">
                  <c:v>1.22</c:v>
                </c:pt>
                <c:pt idx="19">
                  <c:v>1.23</c:v>
                </c:pt>
                <c:pt idx="20">
                  <c:v>1.24</c:v>
                </c:pt>
                <c:pt idx="21">
                  <c:v>1.25</c:v>
                </c:pt>
                <c:pt idx="22">
                  <c:v>1.26</c:v>
                </c:pt>
                <c:pt idx="23">
                  <c:v>1.27</c:v>
                </c:pt>
                <c:pt idx="24">
                  <c:v>1.28</c:v>
                </c:pt>
              </c:numCache>
            </c:numRef>
          </c:cat>
          <c:val>
            <c:numRef>
              <c:f>Main!$D$37:$D$61</c:f>
              <c:numCache>
                <c:formatCode>0.00</c:formatCode>
                <c:ptCount val="25"/>
                <c:pt idx="0">
                  <c:v>4555946.7315907972</c:v>
                </c:pt>
                <c:pt idx="1">
                  <c:v>4555946.7315907972</c:v>
                </c:pt>
                <c:pt idx="2">
                  <c:v>4555946.7315907972</c:v>
                </c:pt>
                <c:pt idx="3">
                  <c:v>4555946.7315907972</c:v>
                </c:pt>
                <c:pt idx="4">
                  <c:v>4555946.7315907972</c:v>
                </c:pt>
                <c:pt idx="5">
                  <c:v>4555946.7315907972</c:v>
                </c:pt>
                <c:pt idx="6">
                  <c:v>4555946.7315907972</c:v>
                </c:pt>
                <c:pt idx="7">
                  <c:v>4555946.7315907972</c:v>
                </c:pt>
                <c:pt idx="8">
                  <c:v>4555946.7315907972</c:v>
                </c:pt>
                <c:pt idx="9">
                  <c:v>4555946.7315907972</c:v>
                </c:pt>
                <c:pt idx="10">
                  <c:v>4555946.7315907972</c:v>
                </c:pt>
                <c:pt idx="11">
                  <c:v>4555946.7315907972</c:v>
                </c:pt>
                <c:pt idx="12">
                  <c:v>4555946.7315907972</c:v>
                </c:pt>
                <c:pt idx="13">
                  <c:v>4555946.7315907972</c:v>
                </c:pt>
                <c:pt idx="14">
                  <c:v>4555946.7315907972</c:v>
                </c:pt>
                <c:pt idx="15">
                  <c:v>4555946.7315907972</c:v>
                </c:pt>
                <c:pt idx="16">
                  <c:v>4555946.7315907972</c:v>
                </c:pt>
                <c:pt idx="17">
                  <c:v>4555946.7315907972</c:v>
                </c:pt>
                <c:pt idx="18">
                  <c:v>4555946.7315907972</c:v>
                </c:pt>
                <c:pt idx="19">
                  <c:v>4555946.7315907972</c:v>
                </c:pt>
                <c:pt idx="20">
                  <c:v>4555946.7315907972</c:v>
                </c:pt>
                <c:pt idx="21">
                  <c:v>4555946.7315907972</c:v>
                </c:pt>
                <c:pt idx="22">
                  <c:v>4555946.7315907972</c:v>
                </c:pt>
                <c:pt idx="23">
                  <c:v>4555946.7315907972</c:v>
                </c:pt>
                <c:pt idx="24">
                  <c:v>4555946.7315907972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8D-034D-8068-06A2B64CCCA8}"/>
            </c:ext>
          </c:extLst>
        </c:ser>
        <c:ser>
          <c:idx val="3"/>
          <c:order val="3"/>
          <c:tx>
            <c:strRef>
              <c:f>Main!$E$36</c:f>
              <c:strCache>
                <c:ptCount val="1"/>
                <c:pt idx="0">
                  <c:v>Option USD (after premium)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Main!$A$37:$A$61</c:f>
              <c:numCache>
                <c:formatCode>General</c:formatCode>
                <c:ptCount val="25"/>
                <c:pt idx="0">
                  <c:v>1.04</c:v>
                </c:pt>
                <c:pt idx="1">
                  <c:v>1.05</c:v>
                </c:pt>
                <c:pt idx="2">
                  <c:v>1.06</c:v>
                </c:pt>
                <c:pt idx="3">
                  <c:v>1.07</c:v>
                </c:pt>
                <c:pt idx="4">
                  <c:v>1.08</c:v>
                </c:pt>
                <c:pt idx="5">
                  <c:v>1.0900000000000001</c:v>
                </c:pt>
                <c:pt idx="6">
                  <c:v>1.1000000000000001</c:v>
                </c:pt>
                <c:pt idx="7">
                  <c:v>1.1100000000000001</c:v>
                </c:pt>
                <c:pt idx="8">
                  <c:v>1.1200000000000001</c:v>
                </c:pt>
                <c:pt idx="9">
                  <c:v>1.1299999999999999</c:v>
                </c:pt>
                <c:pt idx="10">
                  <c:v>1.1399999999999999</c:v>
                </c:pt>
                <c:pt idx="11">
                  <c:v>1.1499999999999999</c:v>
                </c:pt>
                <c:pt idx="12">
                  <c:v>1.1599999999999999</c:v>
                </c:pt>
                <c:pt idx="13">
                  <c:v>1.17</c:v>
                </c:pt>
                <c:pt idx="14">
                  <c:v>1.18</c:v>
                </c:pt>
                <c:pt idx="15">
                  <c:v>1.19</c:v>
                </c:pt>
                <c:pt idx="16">
                  <c:v>1.2</c:v>
                </c:pt>
                <c:pt idx="17">
                  <c:v>1.21</c:v>
                </c:pt>
                <c:pt idx="18">
                  <c:v>1.22</c:v>
                </c:pt>
                <c:pt idx="19">
                  <c:v>1.23</c:v>
                </c:pt>
                <c:pt idx="20">
                  <c:v>1.24</c:v>
                </c:pt>
                <c:pt idx="21">
                  <c:v>1.25</c:v>
                </c:pt>
                <c:pt idx="22">
                  <c:v>1.26</c:v>
                </c:pt>
                <c:pt idx="23">
                  <c:v>1.27</c:v>
                </c:pt>
                <c:pt idx="24">
                  <c:v>1.28</c:v>
                </c:pt>
              </c:numCache>
            </c:numRef>
          </c:cat>
          <c:val>
            <c:numRef>
              <c:f>Main!$E$37:$E$61</c:f>
              <c:numCache>
                <c:formatCode>0.00</c:formatCode>
                <c:ptCount val="25"/>
                <c:pt idx="0">
                  <c:v>4441809.9499999993</c:v>
                </c:pt>
                <c:pt idx="1">
                  <c:v>4441809.9499999993</c:v>
                </c:pt>
                <c:pt idx="2">
                  <c:v>4441809.9499999993</c:v>
                </c:pt>
                <c:pt idx="3">
                  <c:v>4441809.9499999993</c:v>
                </c:pt>
                <c:pt idx="4">
                  <c:v>4441809.9499999993</c:v>
                </c:pt>
                <c:pt idx="5">
                  <c:v>4441809.9499999993</c:v>
                </c:pt>
                <c:pt idx="6">
                  <c:v>4441809.9499999993</c:v>
                </c:pt>
                <c:pt idx="7">
                  <c:v>4441809.9499999993</c:v>
                </c:pt>
                <c:pt idx="8">
                  <c:v>4441809.9499999993</c:v>
                </c:pt>
                <c:pt idx="9">
                  <c:v>4441809.9499999993</c:v>
                </c:pt>
                <c:pt idx="10">
                  <c:v>4441809.9499999993</c:v>
                </c:pt>
                <c:pt idx="11">
                  <c:v>4441809.9499999993</c:v>
                </c:pt>
                <c:pt idx="12">
                  <c:v>4441809.9499999993</c:v>
                </c:pt>
                <c:pt idx="13">
                  <c:v>4480603.05</c:v>
                </c:pt>
                <c:pt idx="14">
                  <c:v>4519396.1499999994</c:v>
                </c:pt>
                <c:pt idx="15">
                  <c:v>4558189.2499999991</c:v>
                </c:pt>
                <c:pt idx="16">
                  <c:v>4596982.3499999996</c:v>
                </c:pt>
                <c:pt idx="17">
                  <c:v>4635775.4499999993</c:v>
                </c:pt>
                <c:pt idx="18">
                  <c:v>4674568.55</c:v>
                </c:pt>
                <c:pt idx="19">
                  <c:v>4713361.6499999994</c:v>
                </c:pt>
                <c:pt idx="20">
                  <c:v>4752154.75</c:v>
                </c:pt>
                <c:pt idx="21">
                  <c:v>4790947.8499999996</c:v>
                </c:pt>
                <c:pt idx="22">
                  <c:v>4829740.9499999993</c:v>
                </c:pt>
                <c:pt idx="23">
                  <c:v>4868534.05</c:v>
                </c:pt>
                <c:pt idx="24">
                  <c:v>4907327.1499999994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8D-034D-8068-06A2B64CC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S_T (USD/EUR)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 Proceeds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34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"/>
  <sheetViews>
    <sheetView tabSelected="1"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8" width="22" customWidth="1"/>
  </cols>
  <sheetData>
    <row r="1" spans="1:4" x14ac:dyDescent="0.2">
      <c r="A1" s="1" t="s">
        <v>0</v>
      </c>
    </row>
    <row r="2" spans="1:4" x14ac:dyDescent="0.2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">
      <c r="A3" t="s">
        <v>5</v>
      </c>
      <c r="B3" t="s">
        <v>5</v>
      </c>
      <c r="C3" s="2">
        <v>3879310</v>
      </c>
    </row>
    <row r="4" spans="1:4" x14ac:dyDescent="0.2">
      <c r="A4" t="s">
        <v>6</v>
      </c>
      <c r="B4" t="s">
        <v>6</v>
      </c>
      <c r="C4" s="3">
        <v>1.1599999999999999</v>
      </c>
    </row>
    <row r="5" spans="1:4" x14ac:dyDescent="0.2">
      <c r="A5" t="s">
        <v>7</v>
      </c>
      <c r="B5" t="s">
        <v>7</v>
      </c>
      <c r="C5" s="3">
        <v>1.0874999999999999</v>
      </c>
    </row>
    <row r="6" spans="1:4" x14ac:dyDescent="0.2">
      <c r="A6" t="s">
        <v>8</v>
      </c>
      <c r="B6" t="s">
        <v>8</v>
      </c>
      <c r="C6" s="3">
        <v>3.4200000000000001E-2</v>
      </c>
    </row>
    <row r="7" spans="1:4" x14ac:dyDescent="0.2">
      <c r="A7" t="s">
        <v>9</v>
      </c>
      <c r="B7" t="s">
        <v>9</v>
      </c>
      <c r="C7" s="3">
        <v>2.1499999999999998E-2</v>
      </c>
    </row>
    <row r="8" spans="1:4" x14ac:dyDescent="0.2">
      <c r="A8" t="s">
        <v>10</v>
      </c>
      <c r="B8" t="s">
        <v>10</v>
      </c>
      <c r="C8" s="3">
        <v>1</v>
      </c>
    </row>
    <row r="9" spans="1:4" x14ac:dyDescent="0.2">
      <c r="A9" t="s">
        <v>11</v>
      </c>
      <c r="B9" t="s">
        <v>11</v>
      </c>
      <c r="C9" s="3">
        <v>1.4999999999999999E-2</v>
      </c>
    </row>
    <row r="10" spans="1:4" x14ac:dyDescent="0.2">
      <c r="A10" t="s">
        <v>12</v>
      </c>
      <c r="B10" t="s">
        <v>12</v>
      </c>
      <c r="C10" s="3">
        <v>1.7999999999999999E-2</v>
      </c>
    </row>
    <row r="11" spans="1:4" x14ac:dyDescent="0.2">
      <c r="A11" t="s">
        <v>13</v>
      </c>
      <c r="B11" t="s">
        <v>13</v>
      </c>
      <c r="C11" s="3">
        <v>1.1599999999999999</v>
      </c>
    </row>
    <row r="13" spans="1:4" x14ac:dyDescent="0.2">
      <c r="A13" s="1" t="s">
        <v>14</v>
      </c>
    </row>
    <row r="14" spans="1:4" x14ac:dyDescent="0.2">
      <c r="A14" t="s">
        <v>15</v>
      </c>
      <c r="B14">
        <f>F0_in</f>
        <v>1.0874999999999999</v>
      </c>
    </row>
    <row r="15" spans="1:4" x14ac:dyDescent="0.2">
      <c r="A15" t="s">
        <v>16</v>
      </c>
      <c r="B15">
        <f>FC_AMT</f>
        <v>3879310</v>
      </c>
    </row>
    <row r="16" spans="1:4" x14ac:dyDescent="0.2">
      <c r="A16" t="s">
        <v>17</v>
      </c>
      <c r="B16" s="4">
        <f>FC_AMT * F0_in</f>
        <v>4218749.625</v>
      </c>
    </row>
    <row r="19" spans="1:2" x14ac:dyDescent="0.2">
      <c r="A19" s="1" t="s">
        <v>18</v>
      </c>
    </row>
    <row r="20" spans="1:2" x14ac:dyDescent="0.2">
      <c r="A20" t="s">
        <v>19</v>
      </c>
      <c r="B20">
        <f>FC_AMT / (1 + r_eur * T_years)</f>
        <v>3797660.3034752812</v>
      </c>
    </row>
    <row r="21" spans="1:2" x14ac:dyDescent="0.2">
      <c r="A21" t="s">
        <v>20</v>
      </c>
      <c r="B21">
        <f>B20 * S0</f>
        <v>4405285.9520313255</v>
      </c>
    </row>
    <row r="22" spans="1:2" x14ac:dyDescent="0.2">
      <c r="A22" t="s">
        <v>21</v>
      </c>
      <c r="B22">
        <f>B21 * (1 + r_usd * T_years)</f>
        <v>4555946.7315907972</v>
      </c>
    </row>
    <row r="23" spans="1:2" x14ac:dyDescent="0.2">
      <c r="A23" t="s">
        <v>22</v>
      </c>
      <c r="B23" s="4">
        <f>B22</f>
        <v>4555946.7315907972</v>
      </c>
    </row>
    <row r="26" spans="1:2" x14ac:dyDescent="0.2">
      <c r="A26" s="1" t="s">
        <v>23</v>
      </c>
    </row>
    <row r="27" spans="1:2" x14ac:dyDescent="0.2">
      <c r="A27" t="s">
        <v>24</v>
      </c>
      <c r="B27">
        <f>option_strike</f>
        <v>1.1599999999999999</v>
      </c>
    </row>
    <row r="28" spans="1:2" x14ac:dyDescent="0.2">
      <c r="A28" t="s">
        <v>25</v>
      </c>
      <c r="B28">
        <f>put_premium</f>
        <v>1.4999999999999999E-2</v>
      </c>
    </row>
    <row r="29" spans="1:2" x14ac:dyDescent="0.2">
      <c r="A29" t="s">
        <v>26</v>
      </c>
      <c r="B29" s="4">
        <f>FC_AMT * put_premium</f>
        <v>58189.65</v>
      </c>
    </row>
    <row r="30" spans="1:2" x14ac:dyDescent="0.2">
      <c r="A30" t="s">
        <v>27</v>
      </c>
    </row>
    <row r="31" spans="1:2" x14ac:dyDescent="0.2">
      <c r="A31" t="s">
        <v>28</v>
      </c>
    </row>
    <row r="35" spans="1:5" x14ac:dyDescent="0.2">
      <c r="A35" s="1" t="s">
        <v>29</v>
      </c>
    </row>
    <row r="36" spans="1:5" x14ac:dyDescent="0.2">
      <c r="A36" s="1" t="s">
        <v>30</v>
      </c>
      <c r="B36" s="1" t="s">
        <v>31</v>
      </c>
      <c r="C36" s="1" t="s">
        <v>32</v>
      </c>
      <c r="D36" s="1" t="s">
        <v>33</v>
      </c>
      <c r="E36" s="1" t="s">
        <v>34</v>
      </c>
    </row>
    <row r="37" spans="1:5" x14ac:dyDescent="0.2">
      <c r="A37">
        <v>1.04</v>
      </c>
      <c r="B37" s="4">
        <f t="shared" ref="B37:B61" si="0">FC_AMT * A37</f>
        <v>4034482.4</v>
      </c>
      <c r="C37" s="4">
        <f t="shared" ref="C37:C61" si="1">FC_AMT * F0_in</f>
        <v>4218749.625</v>
      </c>
      <c r="D37" s="4">
        <f t="shared" ref="D37:D61" si="2">FC_AMT / (1 + r_eur * T_years) * S0 * (1 + r_usd * T_years)</f>
        <v>4555946.7315907972</v>
      </c>
      <c r="E37" s="4">
        <f t="shared" ref="E37:E61" si="3">IF(A37 &lt; option_strike, FC_AMT * option_strike - FC_AMT * put_premium, FC_AMT * A37 - FC_AMT * put_premium)</f>
        <v>4441809.9499999993</v>
      </c>
    </row>
    <row r="38" spans="1:5" x14ac:dyDescent="0.2">
      <c r="A38">
        <v>1.05</v>
      </c>
      <c r="B38" s="4">
        <f t="shared" si="0"/>
        <v>4073275.5</v>
      </c>
      <c r="C38" s="4">
        <f t="shared" si="1"/>
        <v>4218749.625</v>
      </c>
      <c r="D38" s="4">
        <f t="shared" si="2"/>
        <v>4555946.7315907972</v>
      </c>
      <c r="E38" s="4">
        <f t="shared" si="3"/>
        <v>4441809.9499999993</v>
      </c>
    </row>
    <row r="39" spans="1:5" x14ac:dyDescent="0.2">
      <c r="A39">
        <v>1.06</v>
      </c>
      <c r="B39" s="4">
        <f t="shared" si="0"/>
        <v>4112068.6</v>
      </c>
      <c r="C39" s="4">
        <f t="shared" si="1"/>
        <v>4218749.625</v>
      </c>
      <c r="D39" s="4">
        <f t="shared" si="2"/>
        <v>4555946.7315907972</v>
      </c>
      <c r="E39" s="4">
        <f t="shared" si="3"/>
        <v>4441809.9499999993</v>
      </c>
    </row>
    <row r="40" spans="1:5" x14ac:dyDescent="0.2">
      <c r="A40">
        <v>1.07</v>
      </c>
      <c r="B40" s="4">
        <f t="shared" si="0"/>
        <v>4150861.7</v>
      </c>
      <c r="C40" s="4">
        <f t="shared" si="1"/>
        <v>4218749.625</v>
      </c>
      <c r="D40" s="4">
        <f t="shared" si="2"/>
        <v>4555946.7315907972</v>
      </c>
      <c r="E40" s="4">
        <f t="shared" si="3"/>
        <v>4441809.9499999993</v>
      </c>
    </row>
    <row r="41" spans="1:5" x14ac:dyDescent="0.2">
      <c r="A41">
        <v>1.08</v>
      </c>
      <c r="B41" s="4">
        <f t="shared" si="0"/>
        <v>4189654.8000000003</v>
      </c>
      <c r="C41" s="4">
        <f t="shared" si="1"/>
        <v>4218749.625</v>
      </c>
      <c r="D41" s="4">
        <f t="shared" si="2"/>
        <v>4555946.7315907972</v>
      </c>
      <c r="E41" s="4">
        <f t="shared" si="3"/>
        <v>4441809.9499999993</v>
      </c>
    </row>
    <row r="42" spans="1:5" x14ac:dyDescent="0.2">
      <c r="A42">
        <v>1.0900000000000001</v>
      </c>
      <c r="B42" s="4">
        <f t="shared" si="0"/>
        <v>4228447.9000000004</v>
      </c>
      <c r="C42" s="4">
        <f t="shared" si="1"/>
        <v>4218749.625</v>
      </c>
      <c r="D42" s="4">
        <f t="shared" si="2"/>
        <v>4555946.7315907972</v>
      </c>
      <c r="E42" s="4">
        <f t="shared" si="3"/>
        <v>4441809.9499999993</v>
      </c>
    </row>
    <row r="43" spans="1:5" x14ac:dyDescent="0.2">
      <c r="A43">
        <v>1.1000000000000001</v>
      </c>
      <c r="B43" s="4">
        <f t="shared" si="0"/>
        <v>4267241</v>
      </c>
      <c r="C43" s="4">
        <f t="shared" si="1"/>
        <v>4218749.625</v>
      </c>
      <c r="D43" s="4">
        <f t="shared" si="2"/>
        <v>4555946.7315907972</v>
      </c>
      <c r="E43" s="4">
        <f t="shared" si="3"/>
        <v>4441809.9499999993</v>
      </c>
    </row>
    <row r="44" spans="1:5" x14ac:dyDescent="0.2">
      <c r="A44">
        <v>1.1100000000000001</v>
      </c>
      <c r="B44" s="4">
        <f t="shared" si="0"/>
        <v>4306034.1000000006</v>
      </c>
      <c r="C44" s="4">
        <f t="shared" si="1"/>
        <v>4218749.625</v>
      </c>
      <c r="D44" s="4">
        <f t="shared" si="2"/>
        <v>4555946.7315907972</v>
      </c>
      <c r="E44" s="4">
        <f t="shared" si="3"/>
        <v>4441809.9499999993</v>
      </c>
    </row>
    <row r="45" spans="1:5" x14ac:dyDescent="0.2">
      <c r="A45">
        <v>1.1200000000000001</v>
      </c>
      <c r="B45" s="4">
        <f t="shared" si="0"/>
        <v>4344827.2</v>
      </c>
      <c r="C45" s="4">
        <f t="shared" si="1"/>
        <v>4218749.625</v>
      </c>
      <c r="D45" s="4">
        <f t="shared" si="2"/>
        <v>4555946.7315907972</v>
      </c>
      <c r="E45" s="4">
        <f t="shared" si="3"/>
        <v>4441809.9499999993</v>
      </c>
    </row>
    <row r="46" spans="1:5" x14ac:dyDescent="0.2">
      <c r="A46">
        <v>1.1299999999999999</v>
      </c>
      <c r="B46" s="4">
        <f t="shared" si="0"/>
        <v>4383620.3</v>
      </c>
      <c r="C46" s="4">
        <f t="shared" si="1"/>
        <v>4218749.625</v>
      </c>
      <c r="D46" s="4">
        <f t="shared" si="2"/>
        <v>4555946.7315907972</v>
      </c>
      <c r="E46" s="4">
        <f t="shared" si="3"/>
        <v>4441809.9499999993</v>
      </c>
    </row>
    <row r="47" spans="1:5" x14ac:dyDescent="0.2">
      <c r="A47">
        <v>1.1399999999999999</v>
      </c>
      <c r="B47" s="4">
        <f t="shared" si="0"/>
        <v>4422413.3999999994</v>
      </c>
      <c r="C47" s="4">
        <f t="shared" si="1"/>
        <v>4218749.625</v>
      </c>
      <c r="D47" s="4">
        <f t="shared" si="2"/>
        <v>4555946.7315907972</v>
      </c>
      <c r="E47" s="4">
        <f t="shared" si="3"/>
        <v>4441809.9499999993</v>
      </c>
    </row>
    <row r="48" spans="1:5" x14ac:dyDescent="0.2">
      <c r="A48">
        <v>1.1499999999999999</v>
      </c>
      <c r="B48" s="4">
        <f t="shared" si="0"/>
        <v>4461206.5</v>
      </c>
      <c r="C48" s="4">
        <f t="shared" si="1"/>
        <v>4218749.625</v>
      </c>
      <c r="D48" s="4">
        <f t="shared" si="2"/>
        <v>4555946.7315907972</v>
      </c>
      <c r="E48" s="4">
        <f t="shared" si="3"/>
        <v>4441809.9499999993</v>
      </c>
    </row>
    <row r="49" spans="1:5" x14ac:dyDescent="0.2">
      <c r="A49">
        <v>1.1599999999999999</v>
      </c>
      <c r="B49" s="4">
        <f t="shared" si="0"/>
        <v>4499999.5999999996</v>
      </c>
      <c r="C49" s="4">
        <f t="shared" si="1"/>
        <v>4218749.625</v>
      </c>
      <c r="D49" s="4">
        <f t="shared" si="2"/>
        <v>4555946.7315907972</v>
      </c>
      <c r="E49" s="4">
        <f t="shared" si="3"/>
        <v>4441809.9499999993</v>
      </c>
    </row>
    <row r="50" spans="1:5" x14ac:dyDescent="0.2">
      <c r="A50">
        <v>1.17</v>
      </c>
      <c r="B50" s="4">
        <f t="shared" si="0"/>
        <v>4538792.7</v>
      </c>
      <c r="C50" s="4">
        <f t="shared" si="1"/>
        <v>4218749.625</v>
      </c>
      <c r="D50" s="4">
        <f t="shared" si="2"/>
        <v>4555946.7315907972</v>
      </c>
      <c r="E50" s="4">
        <f t="shared" si="3"/>
        <v>4480603.05</v>
      </c>
    </row>
    <row r="51" spans="1:5" x14ac:dyDescent="0.2">
      <c r="A51">
        <v>1.18</v>
      </c>
      <c r="B51" s="4">
        <f t="shared" si="0"/>
        <v>4577585.8</v>
      </c>
      <c r="C51" s="4">
        <f t="shared" si="1"/>
        <v>4218749.625</v>
      </c>
      <c r="D51" s="4">
        <f t="shared" si="2"/>
        <v>4555946.7315907972</v>
      </c>
      <c r="E51" s="4">
        <f t="shared" si="3"/>
        <v>4519396.1499999994</v>
      </c>
    </row>
    <row r="52" spans="1:5" x14ac:dyDescent="0.2">
      <c r="A52">
        <v>1.19</v>
      </c>
      <c r="B52" s="4">
        <f t="shared" si="0"/>
        <v>4616378.8999999994</v>
      </c>
      <c r="C52" s="4">
        <f t="shared" si="1"/>
        <v>4218749.625</v>
      </c>
      <c r="D52" s="4">
        <f t="shared" si="2"/>
        <v>4555946.7315907972</v>
      </c>
      <c r="E52" s="4">
        <f t="shared" si="3"/>
        <v>4558189.2499999991</v>
      </c>
    </row>
    <row r="53" spans="1:5" x14ac:dyDescent="0.2">
      <c r="A53">
        <v>1.2</v>
      </c>
      <c r="B53" s="4">
        <f t="shared" si="0"/>
        <v>4655172</v>
      </c>
      <c r="C53" s="4">
        <f t="shared" si="1"/>
        <v>4218749.625</v>
      </c>
      <c r="D53" s="4">
        <f t="shared" si="2"/>
        <v>4555946.7315907972</v>
      </c>
      <c r="E53" s="4">
        <f t="shared" si="3"/>
        <v>4596982.3499999996</v>
      </c>
    </row>
    <row r="54" spans="1:5" x14ac:dyDescent="0.2">
      <c r="A54">
        <v>1.21</v>
      </c>
      <c r="B54" s="4">
        <f t="shared" si="0"/>
        <v>4693965.0999999996</v>
      </c>
      <c r="C54" s="4">
        <f t="shared" si="1"/>
        <v>4218749.625</v>
      </c>
      <c r="D54" s="4">
        <f t="shared" si="2"/>
        <v>4555946.7315907972</v>
      </c>
      <c r="E54" s="4">
        <f t="shared" si="3"/>
        <v>4635775.4499999993</v>
      </c>
    </row>
    <row r="55" spans="1:5" x14ac:dyDescent="0.2">
      <c r="A55">
        <v>1.22</v>
      </c>
      <c r="B55" s="4">
        <f t="shared" si="0"/>
        <v>4732758.2</v>
      </c>
      <c r="C55" s="4">
        <f t="shared" si="1"/>
        <v>4218749.625</v>
      </c>
      <c r="D55" s="4">
        <f t="shared" si="2"/>
        <v>4555946.7315907972</v>
      </c>
      <c r="E55" s="4">
        <f t="shared" si="3"/>
        <v>4674568.55</v>
      </c>
    </row>
    <row r="56" spans="1:5" x14ac:dyDescent="0.2">
      <c r="A56">
        <v>1.23</v>
      </c>
      <c r="B56" s="4">
        <f t="shared" si="0"/>
        <v>4771551.3</v>
      </c>
      <c r="C56" s="4">
        <f t="shared" si="1"/>
        <v>4218749.625</v>
      </c>
      <c r="D56" s="4">
        <f t="shared" si="2"/>
        <v>4555946.7315907972</v>
      </c>
      <c r="E56" s="4">
        <f t="shared" si="3"/>
        <v>4713361.6499999994</v>
      </c>
    </row>
    <row r="57" spans="1:5" x14ac:dyDescent="0.2">
      <c r="A57">
        <v>1.24</v>
      </c>
      <c r="B57" s="4">
        <f t="shared" si="0"/>
        <v>4810344.4000000004</v>
      </c>
      <c r="C57" s="4">
        <f t="shared" si="1"/>
        <v>4218749.625</v>
      </c>
      <c r="D57" s="4">
        <f t="shared" si="2"/>
        <v>4555946.7315907972</v>
      </c>
      <c r="E57" s="4">
        <f t="shared" si="3"/>
        <v>4752154.75</v>
      </c>
    </row>
    <row r="58" spans="1:5" x14ac:dyDescent="0.2">
      <c r="A58">
        <v>1.25</v>
      </c>
      <c r="B58" s="4">
        <f t="shared" si="0"/>
        <v>4849137.5</v>
      </c>
      <c r="C58" s="4">
        <f t="shared" si="1"/>
        <v>4218749.625</v>
      </c>
      <c r="D58" s="4">
        <f t="shared" si="2"/>
        <v>4555946.7315907972</v>
      </c>
      <c r="E58" s="4">
        <f t="shared" si="3"/>
        <v>4790947.8499999996</v>
      </c>
    </row>
    <row r="59" spans="1:5" x14ac:dyDescent="0.2">
      <c r="A59">
        <v>1.26</v>
      </c>
      <c r="B59" s="4">
        <f t="shared" si="0"/>
        <v>4887930.5999999996</v>
      </c>
      <c r="C59" s="4">
        <f t="shared" si="1"/>
        <v>4218749.625</v>
      </c>
      <c r="D59" s="4">
        <f t="shared" si="2"/>
        <v>4555946.7315907972</v>
      </c>
      <c r="E59" s="4">
        <f t="shared" si="3"/>
        <v>4829740.9499999993</v>
      </c>
    </row>
    <row r="60" spans="1:5" x14ac:dyDescent="0.2">
      <c r="A60">
        <v>1.27</v>
      </c>
      <c r="B60" s="4">
        <f t="shared" si="0"/>
        <v>4926723.7</v>
      </c>
      <c r="C60" s="4">
        <f t="shared" si="1"/>
        <v>4218749.625</v>
      </c>
      <c r="D60" s="4">
        <f t="shared" si="2"/>
        <v>4555946.7315907972</v>
      </c>
      <c r="E60" s="4">
        <f t="shared" si="3"/>
        <v>4868534.05</v>
      </c>
    </row>
    <row r="61" spans="1:5" x14ac:dyDescent="0.2">
      <c r="A61">
        <v>1.28</v>
      </c>
      <c r="B61" s="4">
        <f t="shared" si="0"/>
        <v>4965516.8</v>
      </c>
      <c r="C61" s="4">
        <f t="shared" si="1"/>
        <v>4218749.625</v>
      </c>
      <c r="D61" s="4">
        <f t="shared" si="2"/>
        <v>4555946.7315907972</v>
      </c>
      <c r="E61" s="4">
        <f t="shared" si="3"/>
        <v>4907327.1499999994</v>
      </c>
    </row>
    <row r="64" spans="1:5" x14ac:dyDescent="0.2">
      <c r="A64" s="1" t="s">
        <v>35</v>
      </c>
    </row>
    <row r="65" spans="1:2" x14ac:dyDescent="0.2">
      <c r="A65" t="s">
        <v>36</v>
      </c>
      <c r="B65" s="4">
        <f>FC_AMT * S0</f>
        <v>4499999.5999999996</v>
      </c>
    </row>
    <row r="66" spans="1:2" x14ac:dyDescent="0.2">
      <c r="A66" t="s">
        <v>37</v>
      </c>
      <c r="B66" s="4">
        <f>FC_AMT * F0_in</f>
        <v>4218749.625</v>
      </c>
    </row>
    <row r="67" spans="1:2" x14ac:dyDescent="0.2">
      <c r="A67" t="s">
        <v>38</v>
      </c>
      <c r="B67" s="4">
        <f>FC_AMT / (1 + r_eur * T_years) * S0 * (1 + r_usd * T_years)</f>
        <v>4555946.7315907972</v>
      </c>
    </row>
    <row r="68" spans="1:2" x14ac:dyDescent="0.2">
      <c r="A68" t="s">
        <v>39</v>
      </c>
      <c r="B68" s="4">
        <f>IF(S0 &lt; option_strike, FC_AMT * option_strike - FC_AMT * put_premium, FC_AMT * S0 - FC_AMT * put_premium)</f>
        <v>4441809.9499999993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baseColWidth="10" defaultColWidth="8.83203125" defaultRowHeight="15" x14ac:dyDescent="0.2"/>
  <sheetData>
    <row r="1" spans="1:1" x14ac:dyDescent="0.2">
      <c r="A1" t="s">
        <v>40</v>
      </c>
    </row>
    <row r="2" spans="1:1" x14ac:dyDescent="0.2">
      <c r="A2" t="s">
        <v>41</v>
      </c>
    </row>
    <row r="4" spans="1:1" x14ac:dyDescent="0.2">
      <c r="A4" t="s">
        <v>42</v>
      </c>
    </row>
    <row r="5" spans="1:1" x14ac:dyDescent="0.2">
      <c r="A5" t="s">
        <v>43</v>
      </c>
    </row>
    <row r="6" spans="1:1" x14ac:dyDescent="0.2">
      <c r="A6" t="s">
        <v>44</v>
      </c>
    </row>
    <row r="7" spans="1:1" x14ac:dyDescent="0.2">
      <c r="A7" t="s">
        <v>45</v>
      </c>
    </row>
    <row r="8" spans="1:1" x14ac:dyDescent="0.2">
      <c r="A8" t="s">
        <v>46</v>
      </c>
    </row>
    <row r="9" spans="1:1" x14ac:dyDescent="0.2">
      <c r="A9" t="s">
        <v>47</v>
      </c>
    </row>
    <row r="10" spans="1:1" x14ac:dyDescent="0.2">
      <c r="A10" t="s">
        <v>48</v>
      </c>
    </row>
    <row r="11" spans="1:1" x14ac:dyDescent="0.2">
      <c r="A11" t="s">
        <v>49</v>
      </c>
    </row>
    <row r="12" spans="1:1" x14ac:dyDescent="0.2">
      <c r="A12" t="s">
        <v>50</v>
      </c>
    </row>
    <row r="13" spans="1:1" x14ac:dyDescent="0.2">
      <c r="A13" t="s">
        <v>51</v>
      </c>
    </row>
    <row r="14" spans="1:1" x14ac:dyDescent="0.2">
      <c r="A14" t="s">
        <v>52</v>
      </c>
    </row>
    <row r="15" spans="1:1" x14ac:dyDescent="0.2">
      <c r="A15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Main</vt:lpstr>
      <vt:lpstr>Notes</vt:lpstr>
      <vt:lpstr>call_premium</vt:lpstr>
      <vt:lpstr>F0_in</vt:lpstr>
      <vt:lpstr>FC_AMT</vt:lpstr>
      <vt:lpstr>option_strike</vt:lpstr>
      <vt:lpstr>put_premium</vt:lpstr>
      <vt:lpstr>r_eur</vt:lpstr>
      <vt:lpstr>r_usd</vt:lpstr>
      <vt:lpstr>S0</vt:lpstr>
      <vt:lpstr>T_years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Hannah Sheveland</cp:lastModifiedBy>
  <dcterms:created xsi:type="dcterms:W3CDTF">2025-11-25T22:15:03Z</dcterms:created>
  <dcterms:modified xsi:type="dcterms:W3CDTF">2025-11-25T22:19:13Z</dcterms:modified>
</cp:coreProperties>
</file>