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 Hedge Model" sheetId="1" state="visible" r:id="rId1"/>
  </sheets>
  <definedNames>
    <definedName name="FC_AMT">'FX Hedge Model'!$B$3</definedName>
    <definedName name="S0_in">'FX Hedge Model'!$B$4</definedName>
    <definedName name="F0_in">'FX Hedge Model'!$B$5</definedName>
    <definedName name="R_USD">'FX Hedge Model'!$B$6</definedName>
    <definedName name="R_FC">'FX Hedge Model'!$B$7</definedName>
    <definedName name="K_PUT">'FX Hedge Model'!$B$8</definedName>
    <definedName name="K_CALL">'FX Hedge Model'!$B$9</definedName>
    <definedName name="PREM_PUT">'FX Hedge Model'!$B$10</definedName>
    <definedName name="PREM_CALL">'FX Hedge Model'!$B$11</definedName>
    <definedName name="T_DAYS">'FX Hedge Model'!$B$12</definedName>
    <definedName name="T_YRS">'FX Hedge Model'!$B$13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Inputs &amp; Assumptions</t>
        </is>
      </c>
      <c r="D1" s="1" t="inlineStr">
        <is>
          <t>Forward Hedge</t>
        </is>
      </c>
      <c r="G1" s="1" t="inlineStr">
        <is>
          <t>Verification &amp; KPIs</t>
        </is>
      </c>
    </row>
    <row r="3">
      <c r="A3" t="inlineStr">
        <is>
          <t>FC_AMT</t>
        </is>
      </c>
      <c r="B3" s="2" t="n">
        <v>3879310</v>
      </c>
      <c r="D3" t="inlineStr">
        <is>
          <t>USD Proceeds</t>
        </is>
      </c>
      <c r="E3" s="3">
        <f>FC_AMT*F0_in</f>
        <v/>
      </c>
      <c r="G3" t="inlineStr">
        <is>
          <t>Forward Proceeds</t>
        </is>
      </c>
      <c r="H3" s="5">
        <f>E3</f>
        <v/>
      </c>
    </row>
    <row r="4">
      <c r="A4" t="inlineStr">
        <is>
          <t>S0_in</t>
        </is>
      </c>
      <c r="B4" s="2" t="n">
        <v>1.16</v>
      </c>
      <c r="G4" t="inlineStr">
        <is>
          <t>Money Market Proceeds</t>
        </is>
      </c>
      <c r="H4" s="5">
        <f>E8</f>
        <v/>
      </c>
    </row>
    <row r="5">
      <c r="A5" t="inlineStr">
        <is>
          <t>F0_in</t>
        </is>
      </c>
      <c r="B5" s="2" t="n">
        <v>1.0875</v>
      </c>
      <c r="D5" s="1" t="inlineStr">
        <is>
          <t>Money Market Hedge</t>
        </is>
      </c>
      <c r="G5" t="inlineStr">
        <is>
          <t>Parity Difference</t>
        </is>
      </c>
      <c r="H5" s="3">
        <f>H3-H4</f>
        <v/>
      </c>
    </row>
    <row r="6">
      <c r="A6" t="inlineStr">
        <is>
          <t>R_USD</t>
        </is>
      </c>
      <c r="B6" s="2" t="n">
        <v>0.0342</v>
      </c>
      <c r="D6" t="inlineStr">
        <is>
          <t>PV_EUR</t>
        </is>
      </c>
      <c r="E6" s="3">
        <f>FC_AMT/(1+R_FC*T_YRS)</f>
        <v/>
      </c>
    </row>
    <row r="7">
      <c r="A7" t="inlineStr">
        <is>
          <t>R_FC</t>
        </is>
      </c>
      <c r="B7" s="2" t="n">
        <v>0.0215</v>
      </c>
      <c r="D7" t="inlineStr">
        <is>
          <t>USD_PV</t>
        </is>
      </c>
      <c r="E7" s="3">
        <f>E6*S0_in</f>
        <v/>
      </c>
      <c r="G7" t="inlineStr">
        <is>
          <t>Parity Status</t>
        </is>
      </c>
      <c r="H7" s="5">
        <f>IF(ABS(H5)&lt;1,"PASS","CHECK")</f>
        <v/>
      </c>
    </row>
    <row r="8">
      <c r="A8" t="inlineStr">
        <is>
          <t>K_PUT</t>
        </is>
      </c>
      <c r="B8" s="2" t="n">
        <v>1.16</v>
      </c>
      <c r="D8" t="inlineStr">
        <is>
          <t>USD_MMH</t>
        </is>
      </c>
      <c r="E8" s="3">
        <f>E7*(1+R_USD*T_YRS)</f>
        <v/>
      </c>
    </row>
    <row r="9">
      <c r="A9" t="inlineStr">
        <is>
          <t>K_CALL</t>
        </is>
      </c>
      <c r="B9" s="2" t="n">
        <v>1.16</v>
      </c>
    </row>
    <row r="10">
      <c r="A10" t="inlineStr">
        <is>
          <t>PREM_PUT</t>
        </is>
      </c>
      <c r="B10" s="2" t="n">
        <v>0.015</v>
      </c>
    </row>
    <row r="11">
      <c r="A11" t="inlineStr">
        <is>
          <t>PREM_CALL</t>
        </is>
      </c>
      <c r="B11" s="2" t="n">
        <v>0.018</v>
      </c>
    </row>
    <row r="12">
      <c r="A12" t="inlineStr">
        <is>
          <t>T_DAYS</t>
        </is>
      </c>
      <c r="B12" s="2" t="n">
        <v>360</v>
      </c>
    </row>
    <row r="13">
      <c r="A13" t="inlineStr">
        <is>
          <t>T_YRS</t>
        </is>
      </c>
      <c r="B13" s="4">
        <f>T_DAYS/360</f>
        <v/>
      </c>
    </row>
    <row r="15">
      <c r="A15" s="1" t="inlineStr">
        <is>
          <t>Sensitivity Analysis</t>
        </is>
      </c>
    </row>
    <row r="16">
      <c r="A16" t="inlineStr">
        <is>
          <t>S_T</t>
        </is>
      </c>
      <c r="B16" t="inlineStr">
        <is>
          <t>Unhedged</t>
        </is>
      </c>
      <c r="C16" t="inlineStr">
        <is>
          <t>Forward</t>
        </is>
      </c>
      <c r="D16" t="inlineStr">
        <is>
          <t>Money Market</t>
        </is>
      </c>
      <c r="E16" t="inlineStr">
        <is>
          <t>Option</t>
        </is>
      </c>
    </row>
    <row r="17">
      <c r="A17">
        <f>S0_in*(0.95+0.01*0)</f>
        <v/>
      </c>
      <c r="B17" s="5">
        <f>FC_AMT*A17</f>
        <v/>
      </c>
      <c r="C17" s="5">
        <f>FC_AMT*F0_in</f>
        <v/>
      </c>
      <c r="D17" s="5">
        <f>E8</f>
        <v/>
      </c>
      <c r="E17" s="5">
        <f>IF(A17&lt;K_PUT,(FC_AMT*A17)+(K_PUT-A17)*FC_AMT-FC_AMT*PREM_PUT,(FC_AMT*A17)-FC_AMT*PREM_PUT)</f>
        <v/>
      </c>
    </row>
    <row r="18">
      <c r="A18">
        <f>S0_in*(0.95+0.01*1)</f>
        <v/>
      </c>
      <c r="B18" s="5">
        <f>FC_AMT*A18</f>
        <v/>
      </c>
      <c r="C18" s="5">
        <f>FC_AMT*F0_in</f>
        <v/>
      </c>
      <c r="D18" s="5">
        <f>E8</f>
        <v/>
      </c>
      <c r="E18" s="5">
        <f>IF(A18&lt;K_PUT,(FC_AMT*A18)+(K_PUT-A18)*FC_AMT-FC_AMT*PREM_PUT,(FC_AMT*A18)-FC_AMT*PREM_PUT)</f>
        <v/>
      </c>
    </row>
    <row r="19">
      <c r="A19">
        <f>S0_in*(0.95+0.01*2)</f>
        <v/>
      </c>
      <c r="B19" s="5">
        <f>FC_AMT*A19</f>
        <v/>
      </c>
      <c r="C19" s="5">
        <f>FC_AMT*F0_in</f>
        <v/>
      </c>
      <c r="D19" s="5">
        <f>E8</f>
        <v/>
      </c>
      <c r="E19" s="5">
        <f>IF(A19&lt;K_PUT,(FC_AMT*A19)+(K_PUT-A19)*FC_AMT-FC_AMT*PREM_PUT,(FC_AMT*A19)-FC_AMT*PREM_PUT)</f>
        <v/>
      </c>
    </row>
    <row r="20">
      <c r="A20">
        <f>S0_in*(0.95+0.01*3)</f>
        <v/>
      </c>
      <c r="B20" s="5">
        <f>FC_AMT*A20</f>
        <v/>
      </c>
      <c r="C20" s="5">
        <f>FC_AMT*F0_in</f>
        <v/>
      </c>
      <c r="D20" s="5">
        <f>E8</f>
        <v/>
      </c>
      <c r="E20" s="5">
        <f>IF(A20&lt;K_PUT,(FC_AMT*A20)+(K_PUT-A20)*FC_AMT-FC_AMT*PREM_PUT,(FC_AMT*A20)-FC_AMT*PREM_PUT)</f>
        <v/>
      </c>
    </row>
    <row r="21">
      <c r="A21">
        <f>S0_in*(0.95+0.01*4)</f>
        <v/>
      </c>
      <c r="B21" s="5">
        <f>FC_AMT*A21</f>
        <v/>
      </c>
      <c r="C21" s="5">
        <f>FC_AMT*F0_in</f>
        <v/>
      </c>
      <c r="D21" s="5">
        <f>E8</f>
        <v/>
      </c>
      <c r="E21" s="5">
        <f>IF(A21&lt;K_PUT,(FC_AMT*A21)+(K_PUT-A21)*FC_AMT-FC_AMT*PREM_PUT,(FC_AMT*A21)-FC_AMT*PREM_PUT)</f>
        <v/>
      </c>
    </row>
    <row r="22">
      <c r="A22">
        <f>S0_in*(0.95+0.01*5)</f>
        <v/>
      </c>
      <c r="B22" s="5">
        <f>FC_AMT*A22</f>
        <v/>
      </c>
      <c r="C22" s="5">
        <f>FC_AMT*F0_in</f>
        <v/>
      </c>
      <c r="D22" s="5">
        <f>E8</f>
        <v/>
      </c>
      <c r="E22" s="5">
        <f>IF(A22&lt;K_PUT,(FC_AMT*A22)+(K_PUT-A22)*FC_AMT-FC_AMT*PREM_PUT,(FC_AMT*A22)-FC_AMT*PREM_PUT)</f>
        <v/>
      </c>
    </row>
    <row r="23">
      <c r="A23">
        <f>S0_in*(0.95+0.01*6)</f>
        <v/>
      </c>
      <c r="B23" s="5">
        <f>FC_AMT*A23</f>
        <v/>
      </c>
      <c r="C23" s="5">
        <f>FC_AMT*F0_in</f>
        <v/>
      </c>
      <c r="D23" s="5">
        <f>E8</f>
        <v/>
      </c>
      <c r="E23" s="5">
        <f>IF(A23&lt;K_PUT,(FC_AMT*A23)+(K_PUT-A23)*FC_AMT-FC_AMT*PREM_PUT,(FC_AMT*A23)-FC_AMT*PREM_PUT)</f>
        <v/>
      </c>
    </row>
    <row r="24">
      <c r="A24">
        <f>S0_in*(0.95+0.01*7)</f>
        <v/>
      </c>
      <c r="B24" s="5">
        <f>FC_AMT*A24</f>
        <v/>
      </c>
      <c r="C24" s="5">
        <f>FC_AMT*F0_in</f>
        <v/>
      </c>
      <c r="D24" s="5">
        <f>E8</f>
        <v/>
      </c>
      <c r="E24" s="5">
        <f>IF(A24&lt;K_PUT,(FC_AMT*A24)+(K_PUT-A24)*FC_AMT-FC_AMT*PREM_PUT,(FC_AMT*A24)-FC_AMT*PREM_PUT)</f>
        <v/>
      </c>
    </row>
    <row r="25">
      <c r="A25">
        <f>S0_in*(0.95+0.01*8)</f>
        <v/>
      </c>
      <c r="B25" s="5">
        <f>FC_AMT*A25</f>
        <v/>
      </c>
      <c r="C25" s="5">
        <f>FC_AMT*F0_in</f>
        <v/>
      </c>
      <c r="D25" s="5">
        <f>E8</f>
        <v/>
      </c>
      <c r="E25" s="5">
        <f>IF(A25&lt;K_PUT,(FC_AMT*A25)+(K_PUT-A25)*FC_AMT-FC_AMT*PREM_PUT,(FC_AMT*A25)-FC_AMT*PREM_PUT)</f>
        <v/>
      </c>
    </row>
    <row r="26">
      <c r="A26">
        <f>S0_in*(0.95+0.01*9)</f>
        <v/>
      </c>
      <c r="B26" s="5">
        <f>FC_AMT*A26</f>
        <v/>
      </c>
      <c r="C26" s="5">
        <f>FC_AMT*F0_in</f>
        <v/>
      </c>
      <c r="D26" s="5">
        <f>E8</f>
        <v/>
      </c>
      <c r="E26" s="5">
        <f>IF(A26&lt;K_PUT,(FC_AMT*A26)+(K_PUT-A26)*FC_AMT-FC_AMT*PREM_PUT,(FC_AMT*A26)-FC_AMT*PREM_PUT)</f>
        <v/>
      </c>
    </row>
    <row r="27">
      <c r="A27">
        <f>S0_in*(0.95+0.01*10)</f>
        <v/>
      </c>
      <c r="B27" s="5">
        <f>FC_AMT*A27</f>
        <v/>
      </c>
      <c r="C27" s="5">
        <f>FC_AMT*F0_in</f>
        <v/>
      </c>
      <c r="D27" s="5">
        <f>E8</f>
        <v/>
      </c>
      <c r="E27" s="5">
        <f>IF(A27&lt;K_PUT,(FC_AMT*A27)+(K_PUT-A27)*FC_AMT-FC_AMT*PREM_PUT,(FC_AMT*A27)-FC_AMT*PREM_PUT)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2025-12-13T01:33:36Z</dcterms:created>
  <dcterms:modified xmlns:dcterms="http://purl.org/dc/terms/" xmlns:xsi="http://www.w3.org/2001/XMLSchema-instance" xsi:type="dcterms:W3CDTF">2025-12-13T01:34:29Z</dcterms:modified>
</cp:coreProperties>
</file>